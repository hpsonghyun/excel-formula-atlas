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b991de6fa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8e6ea4cfc949e6"/>
    <x:sheet xmlns:r="http://schemas.openxmlformats.org/officeDocument/2006/relationships" name="Assumptions" sheetId="2" r:id="R4e9051c79d114cb7"/>
    <x:sheet xmlns:r="http://schemas.openxmlformats.org/officeDocument/2006/relationships" name="Sales" sheetId="3" r:id="Rf17171c13dac4a9a"/>
    <x:sheet xmlns:r="http://schemas.openxmlformats.org/officeDocument/2006/relationships" name="Costing" sheetId="4" r:id="Rc6aeefceb20947c2"/>
    <x:sheet xmlns:r="http://schemas.openxmlformats.org/officeDocument/2006/relationships" name="Purchasing" sheetId="5" r:id="R520fe9344a644c15"/>
    <x:sheet xmlns:r="http://schemas.openxmlformats.org/officeDocument/2006/relationships" name="Inventory" sheetId="6" r:id="R192707951d4249fd"/>
    <x:sheet xmlns:r="http://schemas.openxmlformats.org/officeDocument/2006/relationships" name="Orders" sheetId="7" r:id="Ra6c769a9e7324679"/>
    <x:sheet xmlns:r="http://schemas.openxmlformats.org/officeDocument/2006/relationships" name="Catalog" sheetId="8" r:id="R74ef74ce25a3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-&quot;"/>
    <x:numFmt numFmtId="201" formatCode="0.0%"/>
    <x:numFmt numFmtId="202" formatCode="yyyy-mm-dd"/>
  </x:numFmts>
  <x:fonts count="12">
    <x:font>
      <x:sz val="11"/>
      <x:name val="Carlito"/>
    </x:font>
    <x:font>
      <x:sz val="10"/>
      <x:color rgb="FF172A39"/>
      <x:name val="Arial"/>
    </x:font>
    <x:font>
      <x:b/>
      <x:sz val="16"/>
      <x:color rgb="FF132B3B"/>
      <x:name val="Arial"/>
    </x:font>
    <x:font>
      <x:i/>
      <x:sz val="10"/>
      <x:color rgb="FF536B7A"/>
      <x:name val="Arial"/>
    </x:font>
    <x:font>
      <x:b/>
      <x:sz val="10"/>
      <x:color rgb="FFFFFFFF"/>
      <x:name val="Arial"/>
    </x:font>
    <x:font>
      <x:sz val="10"/>
      <x:color rgb="FF2155B5"/>
      <x:name val="Arial"/>
    </x:font>
    <x:font>
      <x:b/>
      <x:sz val="11"/>
      <x:color rgb="FF164D68"/>
      <x:name val="Arial"/>
    </x:font>
    <x:font>
      <x:sz val="10"/>
      <x:color rgb="FF167044"/>
      <x:name val="Arial"/>
    </x:font>
    <x:font>
      <x:sz val="10"/>
      <x:color rgb="FF132B3B"/>
      <x:name val="Arial"/>
    </x:font>
    <x:font>
      <x:b/>
      <x:sz val="15"/>
      <x:color rgb="FF154D45"/>
      <x:name val="Arial"/>
    </x:font>
    <x:font>
      <x:b/>
      <x:sz val="10"/>
      <x:color rgb="FF172A39"/>
      <x:name val="Arial"/>
    </x:font>
    <x:font>
      <x:b/>
      <x:sz val="10"/>
      <x:color rgb="FF132B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3D50"/>
      </x:patternFill>
    </x:fill>
    <x:fill>
      <x:patternFill patternType="solid">
        <x:fgColor rgb="FFFFF3C6"/>
      </x:patternFill>
    </x:fill>
    <x:fill>
      <x:patternFill patternType="solid">
        <x:fgColor rgb="FFE2F1E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A8BBC5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0" fontId="1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cefc9367f41b7" /><Relationship Type="http://schemas.openxmlformats.org/officeDocument/2006/relationships/theme" Target="/xl/theme/theme1.xml" Id="Rc84b1f851835476e" /><Relationship Type="http://schemas.openxmlformats.org/officeDocument/2006/relationships/sharedStrings" Target="/xl/sharedStrings.xml" Id="R67f8affa095e44ab" /><Relationship Type="http://schemas.openxmlformats.org/officeDocument/2006/relationships/worksheet" Target="/xl/worksheets/sheet1.xml" Id="Rb48e6ea4cfc949e6" /><Relationship Type="http://schemas.openxmlformats.org/officeDocument/2006/relationships/worksheet" Target="/xl/worksheets/sheet2.xml" Id="R4e9051c79d114cb7" /><Relationship Type="http://schemas.openxmlformats.org/officeDocument/2006/relationships/worksheet" Target="/xl/worksheets/sheet3.xml" Id="Rf17171c13dac4a9a" /><Relationship Type="http://schemas.openxmlformats.org/officeDocument/2006/relationships/worksheet" Target="/xl/worksheets/sheet4.xml" Id="Rc6aeefceb20947c2" /><Relationship Type="http://schemas.openxmlformats.org/officeDocument/2006/relationships/worksheet" Target="/xl/worksheets/sheet5.xml" Id="R520fe9344a644c15" /><Relationship Type="http://schemas.openxmlformats.org/officeDocument/2006/relationships/worksheet" Target="/xl/worksheets/sheet6.xml" Id="R192707951d4249fd" /><Relationship Type="http://schemas.openxmlformats.org/officeDocument/2006/relationships/worksheet" Target="/xl/worksheets/sheet7.xml" Id="Ra6c769a9e7324679" /><Relationship Type="http://schemas.openxmlformats.org/officeDocument/2006/relationships/worksheet" Target="/xl/worksheets/sheet8.xml" Id="R74ef74ce25a3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D52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21" hidden="0" customWidth="1"/>
    <x:col min="9" max="9" width="12" hidden="0" customWidth="1"/>
    <x:col min="10" max="10" width="12" hidden="0" customWidth="1"/>
    <x:col min="11" max="11" width="20" hidden="0" customWidth="1"/>
    <x:col min="12" max="12" width="12" hidden="0" customWidth="1"/>
    <x:col min="13" max="13" width="27" hidden="0" customWidth="1"/>
    <x:col min="14" max="14" width="12" hidden="0" customWidth="1"/>
    <x:col min="15" max="15" width="12" hidden="0" customWidth="1"/>
    <x:col min="16" max="16" width="23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3" t="str">
        <x:v>October manufacturing operations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4" t="str">
        <x:v>Synthetic model. Compare revenue, operating profit and closing cash. Amounts in KRW.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14" t="str">
        <x:v>Product sales and profit</x:v>
      </x:c>
      <x:c r="C6" s="2"/>
      <x:c r="D6" s="2"/>
      <x:c r="E6" s="2"/>
      <x:c r="F6" s="2"/>
      <x:c r="G6" s="2"/>
      <x:c r="H6" s="14" t="str">
        <x:v>Monthly profit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30" customHeight="1">
      <x:c r="A7" s="2"/>
      <x:c r="B7" s="7" t="str">
        <x:v>Product code</x:v>
      </x:c>
      <x:c r="C7" s="7" t="str">
        <x:v>Revenue</x:v>
      </x:c>
      <x:c r="D7" s="7" t="str">
        <x:v>COGS</x:v>
      </x:c>
      <x:c r="E7" s="7" t="str">
        <x:v>Gross profit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A8" s="2"/>
      <x:c r="B8" s="2" t="str">
        <x:v>A100</x:v>
      </x:c>
      <x:c r="C8" s="20" t="n">
        <x:f>'Sales'!H9</x:f>
        <x:v>5322700</x:v>
      </x:c>
      <x:c r="D8" s="20" t="n">
        <x:f>'Costing'!Q28</x:f>
        <x:v>3120000</x:v>
      </x:c>
      <x:c r="E8" s="20" t="n">
        <x:f>C8-D8</x:f>
        <x:v>2202700</x:v>
      </x:c>
      <x:c r="F8" s="2"/>
      <x:c r="G8" s="2"/>
      <x:c r="H8" s="2" t="str">
        <x:v>Monthly revenue</x:v>
      </x:c>
      <x:c r="I8" s="2"/>
      <x:c r="J8" s="2"/>
      <x:c r="K8" s="20" t="n">
        <x:f>'Sales'!Q26</x:f>
        <x:v>31215800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2"/>
      <x:c r="B9" s="2" t="str">
        <x:v>A200</x:v>
      </x:c>
      <x:c r="C9" s="20" t="n">
        <x:f>'Sales'!H10</x:f>
        <x:v>6606600</x:v>
      </x:c>
      <x:c r="D9" s="20" t="n">
        <x:f>'Costing'!Q29</x:f>
        <x:v>3528000</x:v>
      </x:c>
      <x:c r="E9" s="20" t="n">
        <x:f>C9-D9</x:f>
        <x:v>3078600</x:v>
      </x:c>
      <x:c r="F9" s="2"/>
      <x:c r="G9" s="2"/>
      <x:c r="H9" s="2" t="str">
        <x:v>COGS</x:v>
      </x:c>
      <x:c r="I9" s="2"/>
      <x:c r="J9" s="2"/>
      <x:c r="K9" s="20" t="n">
        <x:f>'Costing'!R35</x:f>
        <x:v>16814000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2"/>
      <x:c r="B10" s="2" t="str">
        <x:v>B100</x:v>
      </x:c>
      <x:c r="C10" s="20" t="n">
        <x:f>'Sales'!H11</x:f>
        <x:v>9127800</x:v>
      </x:c>
      <x:c r="D10" s="20" t="n">
        <x:f>'Costing'!Q30</x:f>
        <x:v>4386000</x:v>
      </x:c>
      <x:c r="E10" s="20" t="n">
        <x:f>C10-D10</x:f>
        <x:v>4741800</x:v>
      </x:c>
      <x:c r="F10" s="2"/>
      <x:c r="G10" s="2"/>
      <x:c r="H10" s="2" t="str">
        <x:v>Gross profit</x:v>
      </x:c>
      <x:c r="I10" s="2"/>
      <x:c r="J10" s="2"/>
      <x:c r="K10" s="20" t="n">
        <x:f>K8-K9</x:f>
        <x:v>14401800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4" customHeight="1">
      <x:c r="A11" s="2"/>
      <x:c r="B11" s="2" t="str">
        <x:v>B200</x:v>
      </x:c>
      <x:c r="C11" s="20" t="n">
        <x:f>'Sales'!H12</x:f>
        <x:v>10158700</x:v>
      </x:c>
      <x:c r="D11" s="20" t="n">
        <x:f>'Costing'!Q31</x:f>
        <x:v>5780000</x:v>
      </x:c>
      <x:c r="E11" s="20" t="n">
        <x:f>C11-D11</x:f>
        <x:v>4378700</x:v>
      </x:c>
      <x:c r="F11" s="2"/>
      <x:c r="G11" s="2"/>
      <x:c r="H11" s="2" t="str">
        <x:v>Fixed operating costs</x:v>
      </x:c>
      <x:c r="I11" s="2"/>
      <x:c r="J11" s="2"/>
      <x:c r="K11" s="20" t="n">
        <x:f>'Assumptions'!F11</x:f>
        <x:v>4200000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7" t="str">
        <x:v>Operating profit</x:v>
      </x:c>
      <x:c r="I12" s="27"/>
      <x:c r="J12" s="27"/>
      <x:c r="K12" s="31" t="n">
        <x:f>K10-K11</x:f>
        <x:v>10201800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5" t="str">
        <x:v>Operating margin</x:v>
      </x:c>
      <x:c r="I13" s="25"/>
      <x:c r="J13" s="25"/>
      <x:c r="K13" s="30" t="n">
        <x:f>K12/K8</x:f>
        <x:v>0.3268152666277975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14" t="str">
        <x:v>Closing cash</x:v>
      </x:c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14" t="str">
        <x:v>How to read the results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 t="str">
        <x:v>Opening cash</x:v>
      </x:c>
      <x:c r="N23" s="2"/>
      <x:c r="O23" s="2"/>
      <x:c r="P23" s="20" t="n">
        <x:f>'Assumptions'!F13</x:f>
        <x:v>32000000</x:v>
      </x:c>
      <x:c r="Q23" s="2"/>
      <x:c r="R23" s="2"/>
      <x:c r="S23" s="2"/>
      <x:c r="T23" s="2"/>
      <x:c r="U23" s="2"/>
    </x:row>
    <x:row r="24" ht="24" customHeight="1">
      <x:c r="A24" s="2"/>
      <x:c r="B24" s="2" t="str">
        <x:v>Revenue is the order value after discounts and returns.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 t="str">
        <x:v>Current sales collected</x:v>
      </x:c>
      <x:c r="N24" s="2"/>
      <x:c r="O24" s="2"/>
      <x:c r="P24" s="20" t="n">
        <x:f>'Sales'!Q27</x:f>
        <x:v>24972640</x:v>
      </x:c>
      <x:c r="Q24" s="2"/>
      <x:c r="R24" s="2"/>
      <x:c r="S24" s="2"/>
      <x:c r="T24" s="2"/>
      <x:c r="U24" s="2"/>
    </x:row>
    <x:row r="25" ht="24" customHeight="1">
      <x:c r="A25" s="2"/>
      <x:c r="B25" s="2" t="str">
        <x:v>Cost of goods sold equals units sold multiplied by unit cost.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 t="str">
        <x:v>Prior receivables collected</x:v>
      </x:c>
      <x:c r="N25" s="2"/>
      <x:c r="O25" s="2"/>
      <x:c r="P25" s="20" t="n">
        <x:f>'Assumptions'!F9</x:f>
        <x:v>8500000</x:v>
      </x:c>
      <x:c r="Q25" s="2"/>
      <x:c r="R25" s="2"/>
      <x:c r="S25" s="2"/>
      <x:c r="T25" s="2"/>
      <x:c r="U25" s="2"/>
    </x:row>
    <x:row r="26" ht="24" customHeight="1">
      <x:c r="A26" s="2"/>
      <x:c r="B26" s="2" t="str">
        <x:v>Production covers sales and additional safety stock.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 t="str">
        <x:v>Materials paid</x:v>
      </x:c>
      <x:c r="N26" s="2"/>
      <x:c r="O26" s="2"/>
      <x:c r="P26" s="20" t="n">
        <x:f>'Purchasing'!Q27</x:f>
        <x:v>6728800</x:v>
      </x:c>
      <x:c r="Q26" s="2"/>
      <x:c r="R26" s="2"/>
      <x:c r="S26" s="2"/>
      <x:c r="T26" s="2"/>
      <x:c r="U26" s="2"/>
    </x:row>
    <x:row r="27" ht="24" customHeight="1">
      <x:c r="A27" s="2"/>
      <x:c r="B27" s="2" t="str">
        <x:v>Closing cash reflects collection and payment timing and capital expenditure.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 t="str">
        <x:v>Production labor paid</x:v>
      </x:c>
      <x:c r="N27" s="2"/>
      <x:c r="O27" s="2"/>
      <x:c r="P27" s="20" t="n">
        <x:f>'Inventory'!G36</x:f>
        <x:v>3476000</x:v>
      </x:c>
      <x:c r="Q27" s="2"/>
      <x:c r="R27" s="2"/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 t="str">
        <x:v>Fixed costs paid</x:v>
      </x:c>
      <x:c r="N28" s="2"/>
      <x:c r="O28" s="2"/>
      <x:c r="P28" s="20" t="n">
        <x:f>'Assumptions'!F11</x:f>
        <x:v>4200000</x:v>
      </x:c>
      <x:c r="Q28" s="2"/>
      <x:c r="R28" s="2"/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 t="str">
        <x:v>Capital expenditure paid</x:v>
      </x:c>
      <x:c r="N29" s="2"/>
      <x:c r="O29" s="2"/>
      <x:c r="P29" s="20" t="n">
        <x:f>'Assumptions'!F12</x:f>
        <x:v>2800000</x:v>
      </x:c>
      <x:c r="Q29" s="2"/>
      <x:c r="R29" s="2"/>
      <x:c r="S29" s="2"/>
      <x:c r="T29" s="2"/>
      <x:c r="U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2" t="str">
        <x:v>Closing cash</x:v>
      </x:c>
      <x:c r="N30" s="22"/>
      <x:c r="O30" s="22"/>
      <x:c r="P30" s="24" t="n">
        <x:f>SUM(P23:P25)-SUM(P26:P29)</x:f>
        <x:v>48267840</x:v>
      </x:c>
      <x:c r="Q30" s="2"/>
      <x:c r="R30" s="2"/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 t="str">
        <x:v>Cash above minimum</x:v>
      </x:c>
      <x:c r="N31" s="2"/>
      <x:c r="O31" s="2"/>
      <x:c r="P31" s="20" t="n">
        <x:f>P30-'Assumptions'!F14</x:f>
        <x:v>36267840</x:v>
      </x:c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0" t="str">
        <x:f>IF(P30&gt;='Assumptions'!F14,"Minimum cash covered","Additional cash required")</x:f>
        <x:v>Minimum cash covered</x:v>
      </x:c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18A9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26" hidden="0" customWidth="1"/>
    <x:col min="5" max="5" width="12" hidden="0" customWidth="1"/>
    <x:col min="6" max="6" width="1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2"/>
      <x:c r="C3" s="2"/>
      <x:c r="D3" s="3" t="str">
        <x:v>October 2026 operating assumptions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2"/>
      <x:c r="C4" s="2"/>
      <x:c r="D4" s="4" t="str">
        <x:v>All data is synthetic. Monetary amounts are in KRW.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30" customHeight="1">
      <x:c r="A6" s="2"/>
      <x:c r="B6" s="2"/>
      <x:c r="C6" s="2"/>
      <x:c r="D6" s="7" t="str">
        <x:v>Assumption</x:v>
      </x:c>
      <x:c r="E6" s="7" t="str">
        <x:v>Unit</x:v>
      </x:c>
      <x:c r="F6" s="7" t="str">
        <x:v>Input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 t="str">
        <x:v>Model month</x:v>
      </x:c>
      <x:c r="E7" s="2" t="str">
        <x:v>Month</x:v>
      </x:c>
      <x:c r="F7" s="11" t="str">
        <x:v>2026-10</x:v>
      </x:c>
      <x:c r="G7" s="2"/>
      <x:c r="H7" s="2"/>
      <x:c r="I7" s="2"/>
      <x:c r="J7" s="2"/>
      <x:c r="K7" s="2"/>
      <x:c r="L7" s="2"/>
      <x:c r="M7" s="14" t="str">
        <x:v>Model conventions</x:v>
      </x:c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A8" s="2"/>
      <x:c r="B8" s="2"/>
      <x:c r="C8" s="2"/>
      <x:c r="D8" s="2" t="str">
        <x:v>Current sales collection rate</x:v>
      </x:c>
      <x:c r="E8" s="2" t="str">
        <x:v>%</x:v>
      </x:c>
      <x:c r="F8" s="12" t="n">
        <x:v>0.8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2"/>
      <x:c r="B9" s="2"/>
      <x:c r="C9" s="2"/>
      <x:c r="D9" s="2" t="str">
        <x:v>Prior receivables collected</x:v>
      </x:c>
      <x:c r="E9" s="2" t="str">
        <x:v>KRW</x:v>
      </x:c>
      <x:c r="F9" s="13" t="n">
        <x:v>8500000</x:v>
      </x:c>
      <x:c r="G9" s="2"/>
      <x:c r="H9" s="2"/>
      <x:c r="I9" s="2"/>
      <x:c r="J9" s="2"/>
      <x:c r="K9" s="2"/>
      <x:c r="L9" s="2"/>
      <x:c r="M9" s="2" t="str">
        <x:v>Revenue excludes returned units.</x:v>
      </x:c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2"/>
      <x:c r="B10" s="2"/>
      <x:c r="C10" s="2"/>
      <x:c r="D10" s="2" t="str">
        <x:v>Current purchase payment rate</x:v>
      </x:c>
      <x:c r="E10" s="2" t="str">
        <x:v>%</x:v>
      </x:c>
      <x:c r="F10" s="12" t="n">
        <x:v>0.65</x:v>
      </x:c>
      <x:c r="G10" s="2"/>
      <x:c r="H10" s="2"/>
      <x:c r="I10" s="2"/>
      <x:c r="J10" s="2"/>
      <x:c r="K10" s="2"/>
      <x:c r="L10" s="2"/>
      <x:c r="M10" s="2" t="str">
        <x:v>Discounts are entered on each order.</x:v>
      </x:c>
      <x:c r="N10" s="2"/>
      <x:c r="O10" s="2"/>
      <x:c r="P10" s="2"/>
      <x:c r="Q10" s="2"/>
      <x:c r="R10" s="2"/>
      <x:c r="S10" s="2"/>
      <x:c r="T10" s="2"/>
      <x:c r="U10" s="2"/>
    </x:row>
    <x:row r="11" ht="24" customHeight="1">
      <x:c r="A11" s="2"/>
      <x:c r="B11" s="2"/>
      <x:c r="C11" s="2"/>
      <x:c r="D11" s="2" t="str">
        <x:v>Monthly fixed operating costs</x:v>
      </x:c>
      <x:c r="E11" s="2" t="str">
        <x:v>KRW</x:v>
      </x:c>
      <x:c r="F11" s="13" t="n">
        <x:v>4200000</x:v>
      </x:c>
      <x:c r="G11" s="2"/>
      <x:c r="H11" s="2"/>
      <x:c r="I11" s="2"/>
      <x:c r="J11" s="2"/>
      <x:c r="K11" s="2"/>
      <x:c r="L11" s="2"/>
      <x:c r="M11" s="2" t="str">
        <x:v>Unsold production remains in inventory.</x:v>
      </x:c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2"/>
      <x:c r="B12" s="2"/>
      <x:c r="C12" s="2"/>
      <x:c r="D12" s="2" t="str">
        <x:v>Capital expenditure paid</x:v>
      </x:c>
      <x:c r="E12" s="2" t="str">
        <x:v>KRW</x:v>
      </x:c>
      <x:c r="F12" s="13" t="n">
        <x:v>2800000</x:v>
      </x:c>
      <x:c r="G12" s="2"/>
      <x:c r="H12" s="2"/>
      <x:c r="I12" s="2"/>
      <x:c r="J12" s="2"/>
      <x:c r="K12" s="2"/>
      <x:c r="L12" s="2"/>
      <x:c r="M12" s="2" t="str">
        <x:v>Cost of goods sold follows units sold.</x:v>
      </x:c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 t="str">
        <x:v>Opening cash</x:v>
      </x:c>
      <x:c r="E13" s="2" t="str">
        <x:v>KRW</x:v>
      </x:c>
      <x:c r="F13" s="13" t="n">
        <x:v>32000000</x:v>
      </x:c>
      <x:c r="G13" s="2"/>
      <x:c r="H13" s="2"/>
      <x:c r="I13" s="2"/>
      <x:c r="J13" s="2"/>
      <x:c r="K13" s="2"/>
      <x:c r="L13" s="2"/>
      <x:c r="M13" s="2" t="str">
        <x:v>All current production labor is paid this month.</x:v>
      </x:c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 t="str">
        <x:v>Minimum cash balance</x:v>
      </x:c>
      <x:c r="E14" s="2" t="str">
        <x:v>KRW</x:v>
      </x:c>
      <x:c r="F14" s="13" t="n">
        <x:v>12000000</x:v>
      </x:c>
      <x:c r="G14" s="2"/>
      <x:c r="H14" s="2"/>
      <x:c r="I14" s="2"/>
      <x:c r="J14" s="2"/>
      <x:c r="K14" s="2"/>
      <x:c r="L14" s="2"/>
      <x:c r="M14" s="2" t="str">
        <x:v>65% of material purchases is paid this month.</x:v>
      </x:c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 t="str">
        <x:v>VAT, income tax and depreciation are excluded.</x:v>
      </x:c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14" t="str">
        <x:v>Opening material inventory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30" customHeight="1">
      <x:c r="A21" s="2"/>
      <x:c r="B21" s="2"/>
      <x:c r="C21" s="2"/>
      <x:c r="D21" s="7" t="str">
        <x:v>Material code</x:v>
      </x:c>
      <x:c r="E21" s="7" t="str">
        <x:v>Opening units</x:v>
      </x:c>
      <x:c r="F21" s="7" t="str">
        <x:v>Safety units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/>
      <x:c r="C22" s="2"/>
      <x:c r="D22" s="2" t="str">
        <x:v>R01</x:v>
      </x:c>
      <x:c r="E22" s="9" t="n">
        <x:v>45</x:v>
      </x:c>
      <x:c r="F22" s="9" t="n">
        <x:v>20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 t="str">
        <x:v>R02</x:v>
      </x:c>
      <x:c r="E23" s="9" t="n">
        <x:v>7</x:v>
      </x:c>
      <x:c r="F23" s="9" t="n">
        <x:v>4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 t="str">
        <x:v>R03</x:v>
      </x:c>
      <x:c r="E24" s="9" t="n">
        <x:v>12</x:v>
      </x:c>
      <x:c r="F24" s="9" t="n">
        <x:v>6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9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21" hidden="0" customWidth="1"/>
    <x:col min="17" max="17" width="19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2"/>
      <x:c r="C3" s="2"/>
      <x:c r="D3" s="2"/>
      <x:c r="E3" s="3" t="str">
        <x:v>Sales and collections by product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2"/>
      <x:c r="C4" s="2"/>
      <x:c r="D4" s="2"/>
      <x:c r="E4" s="4" t="str">
        <x:v>Aggregate net units and discounted order revenue by product code.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"/>
      <x:c r="B8" s="2"/>
      <x:c r="C8" s="2"/>
      <x:c r="D8" s="2"/>
      <x:c r="E8" s="7" t="str">
        <x:v>Product code</x:v>
      </x:c>
      <x:c r="F8" s="7" t="str">
        <x:v>Net units sold</x:v>
      </x:c>
      <x:c r="G8" s="7" t="str">
        <x:v>List price</x:v>
      </x:c>
      <x:c r="H8" s="7" t="str">
        <x:v>Monthly revenue</x:v>
      </x:c>
      <x:c r="I8" s="7" t="str">
        <x:v>Product name</x:v>
      </x:c>
      <x:c r="J8" s="7" t="str">
        <x:v>Cash collected</x:v>
      </x:c>
      <x:c r="K8" s="7" t="str">
        <x:v>Receivables</x:v>
      </x:c>
      <x:c r="L8" s="7" t="str">
        <x:v>Average selling price</x:v>
      </x:c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2"/>
      <x:c r="B9" s="2"/>
      <x:c r="C9" s="2"/>
      <x:c r="D9" s="2"/>
      <x:c r="E9" s="2" t="str">
        <x:v>A100</x:v>
      </x:c>
      <x:c r="F9" s="17" t="n">
        <x:f>SUMIFS('Orders'!$J$8:$J$23,'Orders'!$E$8:$E$23,E9)</x:f>
        <x:v>65</x:v>
      </x:c>
      <x:c r="G9" s="17" t="n">
        <x:f>'Catalog'!J9</x:f>
        <x:v>85000</x:v>
      </x:c>
      <x:c r="H9" s="17" t="n">
        <x:f>SUMIFS('Orders'!$K$8:$K$23,'Orders'!$E$8:$E$23,E9)</x:f>
        <x:v>5322700</x:v>
      </x:c>
      <x:c r="I9" s="15" t="str">
        <x:v>Sensor mount</x:v>
      </x:c>
      <x:c r="J9" s="17" t="n">
        <x:f>H9*'Assumptions'!$F$8</x:f>
        <x:v>4258160</x:v>
      </x:c>
      <x:c r="K9" s="8" t="n">
        <x:f>H9-J9</x:f>
        <x:v>1064540</x:v>
      </x:c>
      <x:c r="L9" s="8" t="n">
        <x:f>H9/F9</x:f>
        <x:v>81887.69230769231</x:v>
      </x:c>
      <x:c r="M9" s="2"/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2"/>
      <x:c r="B10" s="2"/>
      <x:c r="C10" s="2"/>
      <x:c r="D10" s="2"/>
      <x:c r="E10" s="2" t="str">
        <x:v>A200</x:v>
      </x:c>
      <x:c r="F10" s="17" t="n">
        <x:f>SUMIFS('Orders'!$J$8:$J$23,'Orders'!$E$8:$E$23,E10)</x:f>
        <x:v>49</x:v>
      </x:c>
      <x:c r="G10" s="17" t="n">
        <x:f>'Catalog'!J10</x:f>
        <x:v>140000</x:v>
      </x:c>
      <x:c r="H10" s="17" t="n">
        <x:f>SUMIFS('Orders'!$K$8:$K$23,'Orders'!$E$8:$E$23,E10)</x:f>
        <x:v>6606600</x:v>
      </x:c>
      <x:c r="I10" s="15" t="str">
        <x:v>Mobile stand</x:v>
      </x:c>
      <x:c r="J10" s="17" t="n">
        <x:f>H10*'Assumptions'!$F$8</x:f>
        <x:v>5285280</x:v>
      </x:c>
      <x:c r="K10" s="8" t="n">
        <x:f>H10-J10</x:f>
        <x:v>1321320</x:v>
      </x:c>
      <x:c r="L10" s="8" t="n">
        <x:f>H10/F10</x:f>
        <x:v>134828.57142857142</x:v>
      </x:c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4" customHeight="1">
      <x:c r="A11" s="2"/>
      <x:c r="B11" s="2"/>
      <x:c r="C11" s="2"/>
      <x:c r="D11" s="2"/>
      <x:c r="E11" s="2" t="str">
        <x:v>B100</x:v>
      </x:c>
      <x:c r="F11" s="17" t="n">
        <x:f>SUMIFS('Orders'!$J$8:$J$23,'Orders'!$E$8:$E$23,E11)</x:f>
        <x:v>43</x:v>
      </x:c>
      <x:c r="G11" s="17" t="n">
        <x:f>'Catalog'!J11</x:f>
        <x:v>220000</x:v>
      </x:c>
      <x:c r="H11" s="17" t="n">
        <x:f>SUMIFS('Orders'!$K$8:$K$23,'Orders'!$E$8:$E$23,E11)</x:f>
        <x:v>9127800</x:v>
      </x:c>
      <x:c r="I11" s="15" t="str">
        <x:v>Control box</x:v>
      </x:c>
      <x:c r="J11" s="17" t="n">
        <x:f>H11*'Assumptions'!$F$8</x:f>
        <x:v>7302240</x:v>
      </x:c>
      <x:c r="K11" s="8" t="n">
        <x:f>H11-J11</x:f>
        <x:v>1825560</x:v>
      </x:c>
      <x:c r="L11" s="8" t="n">
        <x:f>H11/F11</x:f>
        <x:v>212274.41860465117</x:v>
      </x:c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2"/>
      <x:c r="B12" s="2"/>
      <x:c r="C12" s="2"/>
      <x:c r="D12" s="2"/>
      <x:c r="E12" s="2" t="str">
        <x:v>B200</x:v>
      </x:c>
      <x:c r="F12" s="17" t="n">
        <x:f>SUMIFS('Orders'!$J$8:$J$23,'Orders'!$E$8:$E$23,E12)</x:f>
        <x:v>34</x:v>
      </x:c>
      <x:c r="G12" s="17" t="n">
        <x:f>'Catalog'!J12</x:f>
        <x:v>310000</x:v>
      </x:c>
      <x:c r="H12" s="17" t="n">
        <x:f>SUMIFS('Orders'!$K$8:$K$23,'Orders'!$E$8:$E$23,E12)</x:f>
        <x:v>10158700</x:v>
      </x:c>
      <x:c r="I12" s="15" t="str">
        <x:v>Weatherproof enclosure</x:v>
      </x:c>
      <x:c r="J12" s="17" t="n">
        <x:f>H12*'Assumptions'!$F$8</x:f>
        <x:v>8126960</x:v>
      </x:c>
      <x:c r="K12" s="8" t="n">
        <x:f>H12-J12</x:f>
        <x:v>2031740</x:v>
      </x:c>
      <x:c r="L12" s="8" t="n">
        <x:f>H12/F12</x:f>
        <x:v>298785.29411764705</x:v>
      </x:c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14" t="str">
        <x:v>Monthly sales and collections</x:v>
      </x:c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7" t="str">
        <x:v>Net units sold</x:v>
      </x:c>
      <x:c r="Q25" s="28" t="n">
        <x:f>SUM(F9:F12)</x:f>
        <x:v>191</x:v>
      </x:c>
      <x:c r="R25" s="2"/>
      <x:c r="S25" s="2"/>
      <x:c r="T25" s="2"/>
      <x:c r="U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5" t="str">
        <x:v>Monthly revenue</x:v>
      </x:c>
      <x:c r="Q26" s="26" t="n">
        <x:f>SUM(H9:H12)</x:f>
        <x:v>31215800</x:v>
      </x:c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5" t="str">
        <x:v>Cash collected</x:v>
      </x:c>
      <x:c r="Q27" s="26" t="n">
        <x:f>SUM(J9:J12)</x:f>
        <x:v>24972640</x:v>
      </x:c>
      <x:c r="R27" s="2"/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5" t="str">
        <x:v>Closing receivables</x:v>
      </x:c>
      <x:c r="Q28" s="26" t="n">
        <x:f>SUM(K9:K12)</x:f>
        <x:v>6243160</x:v>
      </x:c>
      <x:c r="R28" s="2"/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5" t="str">
        <x:v>Average selling price</x:v>
      </x:c>
      <x:c r="Q29" s="26" t="n">
        <x:f>Q26/Q25</x:f>
        <x:v>163433.50785340313</x:v>
      </x:c>
      <x:c r="R29" s="2"/>
      <x:c r="S29" s="2"/>
      <x:c r="T29" s="2"/>
      <x:c r="U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4" hidden="0" customWidth="1"/>
    <x:col min="17" max="17" width="19" hidden="0" customWidth="1"/>
    <x:col min="18" max="18" width="19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3" t="str">
        <x:v>Unit costs and cost of goods sold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4" t="str">
        <x:v>Calculate unit costs, then multiply by units sold to obtain cost of goods sold.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30" customHeight="1">
      <x:c r="A11" s="2"/>
      <x:c r="B11" s="7" t="str">
        <x:v>Product code</x:v>
      </x:c>
      <x:c r="C11" s="7" t="str">
        <x:v>Material code</x:v>
      </x:c>
      <x:c r="D11" s="7" t="str">
        <x:v>Units per product</x:v>
      </x:c>
      <x:c r="E11" s="7" t="str">
        <x:v>Unit price</x:v>
      </x:c>
      <x:c r="F11" s="7" t="str">
        <x:v>Material per unit</x:v>
      </x:c>
      <x:c r="G11" s="7" t="str">
        <x:v>Labor per unit</x:v>
      </x:c>
      <x:c r="H11" s="7" t="str">
        <x:v>Unit cost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2"/>
      <x:c r="B12" s="2" t="str">
        <x:v>A100</x:v>
      </x:c>
      <x:c r="C12" s="2" t="str">
        <x:v>R01</x:v>
      </x:c>
      <x:c r="D12" s="17" t="n">
        <x:f>'Catalog'!L9</x:f>
        <x:v>2</x:v>
      </x:c>
      <x:c r="E12" s="17" t="n">
        <x:f>SUMIFS('Catalog'!$E$29:$E$31,'Catalog'!$C$29:$C$31,C12)</x:f>
        <x:v>18000</x:v>
      </x:c>
      <x:c r="F12" s="8" t="n">
        <x:f>D12*E12</x:f>
        <x:v>36000</x:v>
      </x:c>
      <x:c r="G12" s="17" t="n">
        <x:f>'Catalog'!M9</x:f>
        <x:v>12000</x:v>
      </x:c>
      <x:c r="H12" s="8" t="n">
        <x:f>SUM(F12:G12)</x:f>
        <x:v>48000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 t="str">
        <x:v>A200</x:v>
      </x:c>
      <x:c r="C13" s="2" t="str">
        <x:v>R01</x:v>
      </x:c>
      <x:c r="D13" s="17" t="n">
        <x:f>'Catalog'!L10</x:f>
        <x:v>3</x:v>
      </x:c>
      <x:c r="E13" s="17" t="n">
        <x:f>SUMIFS('Catalog'!$E$29:$E$31,'Catalog'!$C$29:$C$31,C13)</x:f>
        <x:v>18000</x:v>
      </x:c>
      <x:c r="F13" s="8" t="n">
        <x:f>D13*E13</x:f>
        <x:v>54000</x:v>
      </x:c>
      <x:c r="G13" s="17" t="n">
        <x:f>'Catalog'!M10</x:f>
        <x:v>18000</x:v>
      </x:c>
      <x:c r="H13" s="8" t="n">
        <x:f>SUM(F13:G13)</x:f>
        <x:v>72000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 t="str">
        <x:v>B100</x:v>
      </x:c>
      <x:c r="C14" s="2" t="str">
        <x:v>R02</x:v>
      </x:c>
      <x:c r="D14" s="17" t="n">
        <x:f>'Catalog'!L11</x:f>
        <x:v>1</x:v>
      </x:c>
      <x:c r="E14" s="17" t="n">
        <x:f>SUMIFS('Catalog'!$E$29:$E$31,'Catalog'!$C$29:$C$31,C14)</x:f>
        <x:v>76000</x:v>
      </x:c>
      <x:c r="F14" s="8" t="n">
        <x:f>D14*E14</x:f>
        <x:v>76000</x:v>
      </x:c>
      <x:c r="G14" s="17" t="n">
        <x:f>'Catalog'!M11</x:f>
        <x:v>26000</x:v>
      </x:c>
      <x:c r="H14" s="8" t="n">
        <x:f>SUM(F14:G14)</x:f>
        <x:v>102000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 t="str">
        <x:v>B200</x:v>
      </x:c>
      <x:c r="C15" s="2" t="str">
        <x:v>R03</x:v>
      </x:c>
      <x:c r="D15" s="17" t="n">
        <x:f>'Catalog'!L12</x:f>
        <x:v>2</x:v>
      </x:c>
      <x:c r="E15" s="17" t="n">
        <x:f>SUMIFS('Catalog'!$E$29:$E$31,'Catalog'!$C$29:$C$31,C15)</x:f>
        <x:v>68000</x:v>
      </x:c>
      <x:c r="F15" s="8" t="n">
        <x:f>D15*E15</x:f>
        <x:v>136000</x:v>
      </x:c>
      <x:c r="G15" s="17" t="n">
        <x:f>'Catalog'!M12</x:f>
        <x:v>34000</x:v>
      </x:c>
      <x:c r="H15" s="8" t="n">
        <x:f>SUM(F15:G15)</x:f>
        <x:v>170000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14" t="str">
        <x:v>Cost of products sold</x:v>
      </x:c>
      <x:c r="Q25" s="2"/>
      <x:c r="R25" s="2"/>
      <x:c r="S25" s="2"/>
      <x:c r="T25" s="2"/>
      <x:c r="U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7" t="str">
        <x:v>Product code</x:v>
      </x:c>
      <x:c r="Q27" s="7" t="str">
        <x:v>Month COGS</x:v>
      </x:c>
      <x:c r="R27" s="7" t="str">
        <x:v>Gross profit</x:v>
      </x:c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str">
        <x:v>A100</x:v>
      </x:c>
      <x:c r="Q28" s="17" t="n">
        <x:f>'Sales'!F9*H12</x:f>
        <x:v>3120000</x:v>
      </x:c>
      <x:c r="R28" s="17" t="n">
        <x:f>'Sales'!H9-Q28</x:f>
        <x:v>2202700</x:v>
      </x:c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str">
        <x:v>A200</x:v>
      </x:c>
      <x:c r="Q29" s="17" t="n">
        <x:f>'Sales'!F10*H13</x:f>
        <x:v>3528000</x:v>
      </x:c>
      <x:c r="R29" s="17" t="n">
        <x:f>'Sales'!H10-Q29</x:f>
        <x:v>3078600</x:v>
      </x:c>
      <x:c r="S29" s="2"/>
      <x:c r="T29" s="2"/>
      <x:c r="U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str">
        <x:v>B100</x:v>
      </x:c>
      <x:c r="Q30" s="17" t="n">
        <x:f>'Sales'!F11*H14</x:f>
        <x:v>4386000</x:v>
      </x:c>
      <x:c r="R30" s="17" t="n">
        <x:f>'Sales'!H11-Q30</x:f>
        <x:v>4741800</x:v>
      </x:c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str">
        <x:v>B200</x:v>
      </x:c>
      <x:c r="Q31" s="17" t="n">
        <x:f>'Sales'!F12*H15</x:f>
        <x:v>5780000</x:v>
      </x:c>
      <x:c r="R31" s="17" t="n">
        <x:f>'Sales'!H12-Q31</x:f>
        <x:v>4378700</x:v>
      </x:c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7" t="str">
        <x:v>Total cost of goods sold</x:v>
      </x:c>
      <x:c r="Q35" s="27"/>
      <x:c r="R35" s="28" t="n">
        <x:f>SUM(Q28:Q31)</x:f>
        <x:v>16814000</x:v>
      </x:c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5" t="str">
        <x:v>Total gross profit</x:v>
      </x:c>
      <x:c r="Q36" s="25"/>
      <x:c r="R36" s="26" t="n">
        <x:f>SUM(R28:R31)</x:f>
        <x:v>14401800</x:v>
      </x:c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2" hidden="0" customWidth="1"/>
    <x:col min="17" max="17" width="19" hidden="0" customWidth="1"/>
    <x:col min="18" max="18" width="17" hidden="0" customWidth="1"/>
    <x:col min="19" max="19" width="17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2"/>
      <x:c r="C3" s="3" t="str">
        <x:v>Material purchases and cash payments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2"/>
      <x:c r="C4" s="4" t="str">
        <x:v>Deduct opening material stock from production needs and add the safety-stock target.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4" t="str">
        <x:v>Materials required for production</x:v>
      </x:c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7" t="str">
        <x:v>Product code</x:v>
      </x:c>
      <x:c r="P8" s="7" t="str">
        <x:v>Material code</x:v>
      </x:c>
      <x:c r="Q8" s="7" t="str">
        <x:v>Production units</x:v>
      </x:c>
      <x:c r="R8" s="7" t="str">
        <x:v>Units per product</x:v>
      </x:c>
      <x:c r="S8" s="7" t="str">
        <x:v>Material units</x:v>
      </x:c>
      <x:c r="T8" s="2"/>
      <x:c r="U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 t="str">
        <x:v>A100</x:v>
      </x:c>
      <x:c r="P9" s="17" t="str">
        <x:f>'Catalog'!K9</x:f>
        <x:v>R01</x:v>
      </x:c>
      <x:c r="Q9" s="17" t="n">
        <x:f>'Inventory'!N9</x:f>
        <x:v>50</x:v>
      </x:c>
      <x:c r="R9" s="17" t="n">
        <x:f>'Catalog'!L9</x:f>
        <x:v>2</x:v>
      </x:c>
      <x:c r="S9" s="8" t="n">
        <x:f>Q9*R9</x:f>
        <x:v>100</x:v>
      </x:c>
      <x:c r="T9" s="2"/>
      <x:c r="U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 t="str">
        <x:v>A200</x:v>
      </x:c>
      <x:c r="P10" s="17" t="str">
        <x:f>'Catalog'!K10</x:f>
        <x:v>R01</x:v>
      </x:c>
      <x:c r="Q10" s="17" t="n">
        <x:f>'Inventory'!N10</x:f>
        <x:v>43</x:v>
      </x:c>
      <x:c r="R10" s="17" t="n">
        <x:f>'Catalog'!L10</x:f>
        <x:v>3</x:v>
      </x:c>
      <x:c r="S10" s="8" t="n">
        <x:f>Q10*R10</x:f>
        <x:v>129</x:v>
      </x:c>
      <x:c r="T10" s="2"/>
      <x:c r="U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 t="str">
        <x:v>B100</x:v>
      </x:c>
      <x:c r="P11" s="17" t="str">
        <x:f>'Catalog'!K11</x:f>
        <x:v>R02</x:v>
      </x:c>
      <x:c r="Q11" s="17" t="n">
        <x:f>'Inventory'!N11</x:f>
        <x:v>39</x:v>
      </x:c>
      <x:c r="R11" s="17" t="n">
        <x:f>'Catalog'!L11</x:f>
        <x:v>1</x:v>
      </x:c>
      <x:c r="S11" s="8" t="n">
        <x:f>Q11*R11</x:f>
        <x:v>39</x:v>
      </x:c>
      <x:c r="T11" s="2"/>
      <x:c r="U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 t="str">
        <x:v>B200</x:v>
      </x:c>
      <x:c r="P12" s="17" t="str">
        <x:f>'Catalog'!K12</x:f>
        <x:v>R03</x:v>
      </x:c>
      <x:c r="Q12" s="17" t="n">
        <x:f>'Inventory'!N12</x:f>
        <x:v>32</x:v>
      </x:c>
      <x:c r="R12" s="17" t="n">
        <x:f>'Catalog'!L12</x:f>
        <x:v>2</x:v>
      </x:c>
      <x:c r="S12" s="8" t="n">
        <x:f>Q12*R12</x:f>
        <x:v>64</x:v>
      </x:c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14" t="str">
        <x:v>Purchase quantities by material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30" customHeight="1">
      <x:c r="A22" s="2"/>
      <x:c r="B22" s="2"/>
      <x:c r="C22" s="7" t="str">
        <x:v>Material code</x:v>
      </x:c>
      <x:c r="D22" s="7" t="str">
        <x:v>Material name</x:v>
      </x:c>
      <x:c r="E22" s="7" t="str">
        <x:v>Required units</x:v>
      </x:c>
      <x:c r="F22" s="7" t="str">
        <x:v>Opening units</x:v>
      </x:c>
      <x:c r="G22" s="7" t="str">
        <x:v>Safety units</x:v>
      </x:c>
      <x:c r="H22" s="7" t="str">
        <x:v>Purchase units</x:v>
      </x:c>
      <x:c r="I22" s="7" t="str">
        <x:v>Unit price</x:v>
      </x:c>
      <x:c r="J22" s="7" t="str">
        <x:v>Purchase value</x:v>
      </x:c>
      <x:c r="K22" s="7" t="str">
        <x:v>Cash paid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 t="str">
        <x:v>R01</x:v>
      </x:c>
      <x:c r="D23" s="2" t="str">
        <x:v>Aluminum frame</x:v>
      </x:c>
      <x:c r="E23" s="8" t="n">
        <x:f>SUMIFS($S$9:$S$12,$P$9:$P$12,C23)</x:f>
        <x:v>229</x:v>
      </x:c>
      <x:c r="F23" s="17" t="n">
        <x:f>SUMIFS('Assumptions'!$E$22:$E$24,'Assumptions'!$D$22:$D$24,C23)</x:f>
        <x:v>45</x:v>
      </x:c>
      <x:c r="G23" s="17" t="n">
        <x:f>SUMIFS('Assumptions'!$F$22:$F$24,'Assumptions'!$D$22:$D$24,C23)</x:f>
        <x:v>20</x:v>
      </x:c>
      <x:c r="H23" s="8" t="n">
        <x:f>MAX(0,E23+G23-F23)</x:f>
        <x:v>204</x:v>
      </x:c>
      <x:c r="I23" s="17" t="n">
        <x:f>'Catalog'!E29</x:f>
        <x:v>18000</x:v>
      </x:c>
      <x:c r="J23" s="8" t="n">
        <x:f>H23*I23</x:f>
        <x:v>3672000</x:v>
      </x:c>
      <x:c r="K23" s="17" t="n">
        <x:f>J23*'Assumptions'!$F$10</x:f>
        <x:v>2386800</x:v>
      </x:c>
      <x:c r="L23" s="2"/>
      <x:c r="M23" s="2"/>
      <x:c r="N23" s="2"/>
      <x:c r="O23" s="2"/>
      <x:c r="P23" s="14" t="str">
        <x:v>Total purchases and payments</x:v>
      </x:c>
      <x:c r="Q23" s="2"/>
      <x:c r="R23" s="2"/>
      <x:c r="S23" s="2"/>
      <x:c r="T23" s="2"/>
      <x:c r="U23" s="2"/>
    </x:row>
    <x:row r="24" ht="24" customHeight="1">
      <x:c r="A24" s="2"/>
      <x:c r="B24" s="2"/>
      <x:c r="C24" s="2" t="str">
        <x:v>R02</x:v>
      </x:c>
      <x:c r="D24" s="2" t="str">
        <x:v>Control module</x:v>
      </x:c>
      <x:c r="E24" s="8" t="n">
        <x:f>SUMIFS($S$9:$S$12,$P$9:$P$12,C24)</x:f>
        <x:v>39</x:v>
      </x:c>
      <x:c r="F24" s="17" t="n">
        <x:f>SUMIFS('Assumptions'!$E$22:$E$24,'Assumptions'!$D$22:$D$24,C24)</x:f>
        <x:v>7</x:v>
      </x:c>
      <x:c r="G24" s="17" t="n">
        <x:f>SUMIFS('Assumptions'!$F$22:$F$24,'Assumptions'!$D$22:$D$24,C24)</x:f>
        <x:v>4</x:v>
      </x:c>
      <x:c r="H24" s="8" t="n">
        <x:f>MAX(0,E24+G24-F24)</x:f>
        <x:v>36</x:v>
      </x:c>
      <x:c r="I24" s="17" t="n">
        <x:f>'Catalog'!E30</x:f>
        <x:v>76000</x:v>
      </x:c>
      <x:c r="J24" s="8" t="n">
        <x:f>H24*I24</x:f>
        <x:v>2736000</x:v>
      </x:c>
      <x:c r="K24" s="17" t="n">
        <x:f>J24*'Assumptions'!$F$10</x:f>
        <x:v>1778400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 t="str">
        <x:v>R03</x:v>
      </x:c>
      <x:c r="D25" s="2" t="str">
        <x:v>Sealed case</x:v>
      </x:c>
      <x:c r="E25" s="8" t="n">
        <x:f>SUMIFS($S$9:$S$12,$P$9:$P$12,C25)</x:f>
        <x:v>64</x:v>
      </x:c>
      <x:c r="F25" s="17" t="n">
        <x:f>SUMIFS('Assumptions'!$E$22:$E$24,'Assumptions'!$D$22:$D$24,C25)</x:f>
        <x:v>12</x:v>
      </x:c>
      <x:c r="G25" s="17" t="n">
        <x:f>SUMIFS('Assumptions'!$F$22:$F$24,'Assumptions'!$D$22:$D$24,C25)</x:f>
        <x:v>6</x:v>
      </x:c>
      <x:c r="H25" s="8" t="n">
        <x:f>MAX(0,E25+G25-F25)</x:f>
        <x:v>58</x:v>
      </x:c>
      <x:c r="I25" s="17" t="n">
        <x:f>'Catalog'!E31</x:f>
        <x:v>68000</x:v>
      </x:c>
      <x:c r="J25" s="8" t="n">
        <x:f>H25*I25</x:f>
        <x:v>3944000</x:v>
      </x:c>
      <x:c r="K25" s="17" t="n">
        <x:f>J25*'Assumptions'!$F$10</x:f>
        <x:v>2563600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7" t="str">
        <x:v>Total purchase value</x:v>
      </x:c>
      <x:c r="Q26" s="28" t="n">
        <x:f>SUM(J23:J25)</x:f>
        <x:v>10352000</x:v>
      </x:c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5" t="str">
        <x:v>Cash paid</x:v>
      </x:c>
      <x:c r="Q27" s="26" t="n">
        <x:f>SUM(K23:K25)</x:f>
        <x:v>6728800</x:v>
      </x:c>
      <x:c r="R27" s="2"/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5" t="str">
        <x:v>Closing payables</x:v>
      </x:c>
      <x:c r="Q28" s="26" t="n">
        <x:f>Q26-Q27</x:f>
        <x:v>3623200</x:v>
      </x:c>
      <x:c r="R28" s="2"/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20" hidden="0" customWidth="1"/>
    <x:col min="5" max="5" width="12" hidden="0" customWidth="1"/>
    <x:col min="6" max="6" width="19" hidden="0" customWidth="1"/>
    <x:col min="7" max="7" width="19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3" t="str">
        <x:v>Finished inventory and production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4" t="str">
        <x:v>Calculate production needed to meet sales and the safety-stock target.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"/>
      <x:c r="B8" s="2"/>
      <x:c r="C8" s="2"/>
      <x:c r="D8" s="2"/>
      <x:c r="E8" s="2"/>
      <x:c r="F8" s="2"/>
      <x:c r="G8" s="2"/>
      <x:c r="H8" s="2"/>
      <x:c r="I8" s="2"/>
      <x:c r="J8" s="7" t="str">
        <x:v>Product code</x:v>
      </x:c>
      <x:c r="K8" s="7" t="str">
        <x:v>Opening units</x:v>
      </x:c>
      <x:c r="L8" s="7" t="str">
        <x:v>Units sold</x:v>
      </x:c>
      <x:c r="M8" s="7" t="str">
        <x:v>Safety stock</x:v>
      </x:c>
      <x:c r="N8" s="7" t="str">
        <x:v>Production needed</x:v>
      </x:c>
      <x:c r="O8" s="7" t="str">
        <x:v>Closing units</x:v>
      </x:c>
      <x:c r="P8" s="7" t="str">
        <x:v>Stock surplus</x:v>
      </x:c>
      <x:c r="Q8" s="2"/>
      <x:c r="R8" s="2"/>
      <x:c r="S8" s="2"/>
      <x:c r="T8" s="2"/>
      <x:c r="U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 t="str">
        <x:v>A100</x:v>
      </x:c>
      <x:c r="K9" s="17" t="n">
        <x:f>'Catalog'!O9</x:f>
        <x:v>35</x:v>
      </x:c>
      <x:c r="L9" s="17" t="n">
        <x:f>'Sales'!F9</x:f>
        <x:v>65</x:v>
      </x:c>
      <x:c r="M9" s="17" t="n">
        <x:f>'Catalog'!N9</x:f>
        <x:v>20</x:v>
      </x:c>
      <x:c r="N9" s="8" t="n">
        <x:f>MAX(0,L9+M9-K9)</x:f>
        <x:v>50</x:v>
      </x:c>
      <x:c r="O9" s="8" t="n">
        <x:f>K9+N9-L9</x:f>
        <x:v>20</x:v>
      </x:c>
      <x:c r="P9" s="8" t="n">
        <x:f>O9-M9</x:f>
        <x:v>0</x:v>
      </x:c>
      <x:c r="Q9" s="2"/>
      <x:c r="R9" s="2"/>
      <x:c r="S9" s="2"/>
      <x:c r="T9" s="2"/>
      <x:c r="U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 t="str">
        <x:v>A200</x:v>
      </x:c>
      <x:c r="K10" s="17" t="n">
        <x:f>'Catalog'!O10</x:f>
        <x:v>18</x:v>
      </x:c>
      <x:c r="L10" s="17" t="n">
        <x:f>'Sales'!F10</x:f>
        <x:v>49</x:v>
      </x:c>
      <x:c r="M10" s="17" t="n">
        <x:f>'Catalog'!N10</x:f>
        <x:v>12</x:v>
      </x:c>
      <x:c r="N10" s="8" t="n">
        <x:f>MAX(0,L10+M10-K10)</x:f>
        <x:v>43</x:v>
      </x:c>
      <x:c r="O10" s="8" t="n">
        <x:f>K10+N10-L10</x:f>
        <x:v>12</x:v>
      </x:c>
      <x:c r="P10" s="8" t="n">
        <x:f>O10-M10</x:f>
        <x:v>0</x:v>
      </x:c>
      <x:c r="Q10" s="2"/>
      <x:c r="R10" s="2"/>
      <x:c r="S10" s="2"/>
      <x:c r="T10" s="2"/>
      <x:c r="U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 t="str">
        <x:v>B100</x:v>
      </x:c>
      <x:c r="K11" s="17" t="n">
        <x:f>'Catalog'!O11</x:f>
        <x:v>14</x:v>
      </x:c>
      <x:c r="L11" s="17" t="n">
        <x:f>'Sales'!F11</x:f>
        <x:v>43</x:v>
      </x:c>
      <x:c r="M11" s="17" t="n">
        <x:f>'Catalog'!N11</x:f>
        <x:v>10</x:v>
      </x:c>
      <x:c r="N11" s="8" t="n">
        <x:f>MAX(0,L11+M11-K11)</x:f>
        <x:v>39</x:v>
      </x:c>
      <x:c r="O11" s="8" t="n">
        <x:f>K11+N11-L11</x:f>
        <x:v>10</x:v>
      </x:c>
      <x:c r="P11" s="8" t="n">
        <x:f>O11-M11</x:f>
        <x:v>0</x:v>
      </x:c>
      <x:c r="Q11" s="2"/>
      <x:c r="R11" s="2"/>
      <x:c r="S11" s="2"/>
      <x:c r="T11" s="2"/>
      <x:c r="U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 t="str">
        <x:v>B200</x:v>
      </x:c>
      <x:c r="K12" s="17" t="n">
        <x:f>'Catalog'!O12</x:f>
        <x:v>10</x:v>
      </x:c>
      <x:c r="L12" s="17" t="n">
        <x:f>'Sales'!F12</x:f>
        <x:v>34</x:v>
      </x:c>
      <x:c r="M12" s="17" t="n">
        <x:f>'Catalog'!N12</x:f>
        <x:v>8</x:v>
      </x:c>
      <x:c r="N12" s="8" t="n">
        <x:f>MAX(0,L12+M12-K12)</x:f>
        <x:v>32</x:v>
      </x:c>
      <x:c r="O12" s="8" t="n">
        <x:f>K12+N12-L12</x:f>
        <x:v>8</x:v>
      </x:c>
      <x:c r="P12" s="8" t="n">
        <x:f>O12-M12</x:f>
        <x:v>0</x:v>
      </x:c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4" customHeight="1">
      <x:c r="A26" s="2"/>
      <x:c r="B26" s="2"/>
      <x:c r="C26" s="14" t="str">
        <x:v>Inventory value and production labor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30" customHeight="1">
      <x:c r="A28" s="2"/>
      <x:c r="B28" s="2"/>
      <x:c r="C28" s="7" t="str">
        <x:v>Product code</x:v>
      </x:c>
      <x:c r="D28" s="7" t="str">
        <x:v>Product name</x:v>
      </x:c>
      <x:c r="E28" s="7" t="str">
        <x:v>Closing units</x:v>
      </x:c>
      <x:c r="F28" s="7" t="str">
        <x:v>Inventory value</x:v>
      </x:c>
      <x:c r="G28" s="7" t="str">
        <x:v>Production labor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4" customHeight="1">
      <x:c r="A29" s="2"/>
      <x:c r="B29" s="2"/>
      <x:c r="C29" s="2" t="str">
        <x:v>A100</x:v>
      </x:c>
      <x:c r="D29" s="2" t="str">
        <x:v>Sensor mount</x:v>
      </x:c>
      <x:c r="E29" s="8" t="n">
        <x:f>O9</x:f>
        <x:v>20</x:v>
      </x:c>
      <x:c r="F29" s="17" t="n">
        <x:f>O9*'Costing'!H12</x:f>
        <x:v>960000</x:v>
      </x:c>
      <x:c r="G29" s="17" t="n">
        <x:f>N9*'Costing'!G12</x:f>
        <x:v>600000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A30" s="2"/>
      <x:c r="B30" s="2"/>
      <x:c r="C30" s="2" t="str">
        <x:v>A200</x:v>
      </x:c>
      <x:c r="D30" s="2" t="str">
        <x:v>Mobile stand</x:v>
      </x:c>
      <x:c r="E30" s="8" t="n">
        <x:f>O10</x:f>
        <x:v>12</x:v>
      </x:c>
      <x:c r="F30" s="17" t="n">
        <x:f>O10*'Costing'!H13</x:f>
        <x:v>864000</x:v>
      </x:c>
      <x:c r="G30" s="17" t="n">
        <x:f>N10*'Costing'!G13</x:f>
        <x:v>774000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 t="str">
        <x:v>B100</x:v>
      </x:c>
      <x:c r="D31" s="2" t="str">
        <x:v>Control box</x:v>
      </x:c>
      <x:c r="E31" s="8" t="n">
        <x:f>O11</x:f>
        <x:v>10</x:v>
      </x:c>
      <x:c r="F31" s="17" t="n">
        <x:f>O11*'Costing'!H14</x:f>
        <x:v>1020000</x:v>
      </x:c>
      <x:c r="G31" s="17" t="n">
        <x:f>N11*'Costing'!G14</x:f>
        <x:v>1014000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 t="str">
        <x:v>B200</x:v>
      </x:c>
      <x:c r="D32" s="2" t="str">
        <x:v>Weatherproof enclosure</x:v>
      </x:c>
      <x:c r="E32" s="8" t="n">
        <x:f>O12</x:f>
        <x:v>8</x:v>
      </x:c>
      <x:c r="F32" s="17" t="n">
        <x:f>O12*'Costing'!H15</x:f>
        <x:v>1360000</x:v>
      </x:c>
      <x:c r="G32" s="17" t="n">
        <x:f>N12*'Costing'!G15</x:f>
        <x:v>1088000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7" t="str">
        <x:v>Total</x:v>
      </x:c>
      <x:c r="E36" s="27"/>
      <x:c r="F36" s="28" t="n">
        <x:f>SUM(F29:F32)</x:f>
        <x:v>4204000</x:v>
      </x:c>
      <x:c r="G36" s="28" t="n">
        <x:f>SUM(G29:G32)</x:f>
        <x:v>3476000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7" hidden="0" customWidth="1"/>
    <x:col min="11" max="11" width="17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3" t="str">
        <x:v>October customer orders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4" t="str">
        <x:v>Sixteen synthetic orders from four fictional customers, including returns and discounts.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30" customHeight="1">
      <x:c r="A7" s="2"/>
      <x:c r="B7" s="7" t="str">
        <x:v>Order ID</x:v>
      </x:c>
      <x:c r="C7" s="7" t="str">
        <x:v>Order date</x:v>
      </x:c>
      <x:c r="D7" s="7" t="str">
        <x:v>Customer</x:v>
      </x:c>
      <x:c r="E7" s="7" t="str">
        <x:v>Product code</x:v>
      </x:c>
      <x:c r="F7" s="7" t="str">
        <x:v>Ordered units</x:v>
      </x:c>
      <x:c r="G7" s="7" t="str">
        <x:v>Discount</x:v>
      </x:c>
      <x:c r="H7" s="7" t="str">
        <x:v>Returned units</x:v>
      </x:c>
      <x:c r="I7" s="7" t="str">
        <x:v>Notes</x:v>
      </x:c>
      <x:c r="J7" s="7" t="str">
        <x:v>Net units sold</x:v>
      </x:c>
      <x:c r="K7" s="7" t="str">
        <x:v>Order revenue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A8" s="2"/>
      <x:c r="B8" s="2" t="str">
        <x:v>O-001</x:v>
      </x:c>
      <x:c r="C8" s="19" t="d">
        <x:v>2026-10-02T12:00:00.000Z</x:v>
      </x:c>
      <x:c r="D8" s="2" t="str">
        <x:v>Future Machines</x:v>
      </x:c>
      <x:c r="E8" s="2" t="str">
        <x:v>A100</x:v>
      </x:c>
      <x:c r="F8" s="9" t="n">
        <x:v>12</x:v>
      </x:c>
      <x:c r="G8" s="10" t="n">
        <x:v>0.03</x:v>
      </x:c>
      <x:c r="H8" s="9" t="n">
        <x:v>0</x:v>
      </x:c>
      <x:c r="I8" s="2" t="str">
        <x:v>Standard order</x:v>
      </x:c>
      <x:c r="J8" s="8" t="n">
        <x:f>F8-H8</x:f>
        <x:v>12</x:v>
      </x:c>
      <x:c r="K8" s="17" t="n">
        <x:f>J8*SUMIFS('Catalog'!$J$9:$J$12,'Catalog'!$H$9:$H$12,E8)*(1-G8)</x:f>
        <x:v>989400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2"/>
      <x:c r="B9" s="2" t="str">
        <x:v>O-002</x:v>
      </x:c>
      <x:c r="C9" s="19" t="d">
        <x:v>2026-10-03T12:00:00.000Z</x:v>
      </x:c>
      <x:c r="D9" s="2" t="str">
        <x:v>Future Machines</x:v>
      </x:c>
      <x:c r="E9" s="2" t="str">
        <x:v>A200</x:v>
      </x:c>
      <x:c r="F9" s="9" t="n">
        <x:v>9</x:v>
      </x:c>
      <x:c r="G9" s="10" t="n">
        <x:v>0.03</x:v>
      </x:c>
      <x:c r="H9" s="9" t="n">
        <x:v>0</x:v>
      </x:c>
      <x:c r="I9" s="2" t="str">
        <x:v>Standard order</x:v>
      </x:c>
      <x:c r="J9" s="8" t="n">
        <x:f>F9-H9</x:f>
        <x:v>9</x:v>
      </x:c>
      <x:c r="K9" s="17" t="n">
        <x:f>J9*SUMIFS('Catalog'!$J$9:$J$12,'Catalog'!$H$9:$H$12,E9)*(1-G9)</x:f>
        <x:v>1222200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2"/>
      <x:c r="B10" s="2" t="str">
        <x:v>O-003</x:v>
      </x:c>
      <x:c r="C10" s="19" t="d">
        <x:v>2026-10-04T12:00:00.000Z</x:v>
      </x:c>
      <x:c r="D10" s="2" t="str">
        <x:v>Future Machines</x:v>
      </x:c>
      <x:c r="E10" s="2" t="str">
        <x:v>B100</x:v>
      </x:c>
      <x:c r="F10" s="9" t="n">
        <x:v>8</x:v>
      </x:c>
      <x:c r="G10" s="10" t="n">
        <x:v>0.03</x:v>
      </x:c>
      <x:c r="H10" s="9" t="n">
        <x:v>0</x:v>
      </x:c>
      <x:c r="I10" s="2" t="str">
        <x:v>Standard order</x:v>
      </x:c>
      <x:c r="J10" s="8" t="n">
        <x:f>F10-H10</x:f>
        <x:v>8</x:v>
      </x:c>
      <x:c r="K10" s="17" t="n">
        <x:f>J10*SUMIFS('Catalog'!$J$9:$J$12,'Catalog'!$H$9:$H$12,E10)*(1-G10)</x:f>
        <x:v>1707200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4" customHeight="1">
      <x:c r="A11" s="2"/>
      <x:c r="B11" s="2" t="str">
        <x:v>O-004</x:v>
      </x:c>
      <x:c r="C11" s="19" t="d">
        <x:v>2026-10-05T12:00:00.000Z</x:v>
      </x:c>
      <x:c r="D11" s="2" t="str">
        <x:v>Future Machines</x:v>
      </x:c>
      <x:c r="E11" s="2" t="str">
        <x:v>B200</x:v>
      </x:c>
      <x:c r="F11" s="9" t="n">
        <x:v>7</x:v>
      </x:c>
      <x:c r="G11" s="10" t="n">
        <x:v>0.03</x:v>
      </x:c>
      <x:c r="H11" s="9" t="n">
        <x:v>1</x:v>
      </x:c>
      <x:c r="I11" s="2" t="str">
        <x:v>Return deducted</x:v>
      </x:c>
      <x:c r="J11" s="8" t="n">
        <x:f>F11-H11</x:f>
        <x:v>6</x:v>
      </x:c>
      <x:c r="K11" s="17" t="n">
        <x:f>J11*SUMIFS('Catalog'!$J$9:$J$12,'Catalog'!$H$9:$H$12,E11)*(1-G11)</x:f>
        <x:v>1804200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2"/>
      <x:c r="B12" s="2" t="str">
        <x:v>O-005</x:v>
      </x:c>
      <x:c r="C12" s="19" t="d">
        <x:v>2026-10-06T12:00:00.000Z</x:v>
      </x:c>
      <x:c r="D12" s="2" t="str">
        <x:v>West Industries</x:v>
      </x:c>
      <x:c r="E12" s="2" t="str">
        <x:v>A100</x:v>
      </x:c>
      <x:c r="F12" s="9" t="n">
        <x:v>18</x:v>
      </x:c>
      <x:c r="G12" s="10" t="n">
        <x:v>0.05</x:v>
      </x:c>
      <x:c r="H12" s="9" t="n">
        <x:v>0</x:v>
      </x:c>
      <x:c r="I12" s="2" t="str">
        <x:v>Standard order</x:v>
      </x:c>
      <x:c r="J12" s="8" t="n">
        <x:f>F12-H12</x:f>
        <x:v>18</x:v>
      </x:c>
      <x:c r="K12" s="17" t="n">
        <x:f>J12*SUMIFS('Catalog'!$J$9:$J$12,'Catalog'!$H$9:$H$12,E12)*(1-G12)</x:f>
        <x:v>1453500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 t="str">
        <x:v>O-006</x:v>
      </x:c>
      <x:c r="C13" s="19" t="d">
        <x:v>2026-10-07T12:00:00.000Z</x:v>
      </x:c>
      <x:c r="D13" s="2" t="str">
        <x:v>West Industries</x:v>
      </x:c>
      <x:c r="E13" s="2" t="str">
        <x:v>A200</x:v>
      </x:c>
      <x:c r="F13" s="9" t="n">
        <x:v>14</x:v>
      </x:c>
      <x:c r="G13" s="10" t="n">
        <x:v>0.05</x:v>
      </x:c>
      <x:c r="H13" s="9" t="n">
        <x:v>0</x:v>
      </x:c>
      <x:c r="I13" s="2" t="str">
        <x:v>Standard order</x:v>
      </x:c>
      <x:c r="J13" s="8" t="n">
        <x:f>F13-H13</x:f>
        <x:v>14</x:v>
      </x:c>
      <x:c r="K13" s="17" t="n">
        <x:f>J13*SUMIFS('Catalog'!$J$9:$J$12,'Catalog'!$H$9:$H$12,E13)*(1-G13)</x:f>
        <x:v>1862000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 t="str">
        <x:v>O-007</x:v>
      </x:c>
      <x:c r="C14" s="19" t="d">
        <x:v>2026-10-08T12:00:00.000Z</x:v>
      </x:c>
      <x:c r="D14" s="2" t="str">
        <x:v>West Industries</x:v>
      </x:c>
      <x:c r="E14" s="2" t="str">
        <x:v>B100</x:v>
      </x:c>
      <x:c r="F14" s="9" t="n">
        <x:v>11</x:v>
      </x:c>
      <x:c r="G14" s="10" t="n">
        <x:v>0.05</x:v>
      </x:c>
      <x:c r="H14" s="9" t="n">
        <x:v>0</x:v>
      </x:c>
      <x:c r="I14" s="2" t="str">
        <x:v>Standard order</x:v>
      </x:c>
      <x:c r="J14" s="8" t="n">
        <x:f>F14-H14</x:f>
        <x:v>11</x:v>
      </x:c>
      <x:c r="K14" s="17" t="n">
        <x:f>J14*SUMIFS('Catalog'!$J$9:$J$12,'Catalog'!$H$9:$H$12,E14)*(1-G14)</x:f>
        <x:v>2299000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 t="str">
        <x:v>O-008</x:v>
      </x:c>
      <x:c r="C15" s="19" t="d">
        <x:v>2026-10-09T12:00:00.000Z</x:v>
      </x:c>
      <x:c r="D15" s="2" t="str">
        <x:v>West Industries</x:v>
      </x:c>
      <x:c r="E15" s="2" t="str">
        <x:v>B200</x:v>
      </x:c>
      <x:c r="F15" s="9" t="n">
        <x:v>9</x:v>
      </x:c>
      <x:c r="G15" s="10" t="n">
        <x:v>0.05</x:v>
      </x:c>
      <x:c r="H15" s="9" t="n">
        <x:v>0</x:v>
      </x:c>
      <x:c r="I15" s="2" t="str">
        <x:v>Standard order</x:v>
      </x:c>
      <x:c r="J15" s="8" t="n">
        <x:f>F15-H15</x:f>
        <x:v>9</x:v>
      </x:c>
      <x:c r="K15" s="17" t="n">
        <x:f>J15*SUMIFS('Catalog'!$J$9:$J$12,'Catalog'!$H$9:$H$12,E15)*(1-G15)</x:f>
        <x:v>2650500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 t="str">
        <x:v>O-009</x:v>
      </x:c>
      <x:c r="C16" s="19" t="d">
        <x:v>2026-10-10T12:00:00.000Z</x:v>
      </x:c>
      <x:c r="D16" s="2" t="str">
        <x:v>Steady Equipment</x:v>
      </x:c>
      <x:c r="E16" s="2" t="str">
        <x:v>A100</x:v>
      </x:c>
      <x:c r="F16" s="9" t="n">
        <x:v>15</x:v>
      </x:c>
      <x:c r="G16" s="10" t="n">
        <x:v>0.02</x:v>
      </x:c>
      <x:c r="H16" s="9" t="n">
        <x:v>1</x:v>
      </x:c>
      <x:c r="I16" s="2" t="str">
        <x:v>Return deducted</x:v>
      </x:c>
      <x:c r="J16" s="8" t="n">
        <x:f>F16-H16</x:f>
        <x:v>14</x:v>
      </x:c>
      <x:c r="K16" s="17" t="n">
        <x:f>J16*SUMIFS('Catalog'!$J$9:$J$12,'Catalog'!$H$9:$H$12,E16)*(1-G16)</x:f>
        <x:v>1166200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 t="str">
        <x:v>O-010</x:v>
      </x:c>
      <x:c r="C17" s="19" t="d">
        <x:v>2026-10-11T12:00:00.000Z</x:v>
      </x:c>
      <x:c r="D17" s="2" t="str">
        <x:v>Steady Equipment</x:v>
      </x:c>
      <x:c r="E17" s="2" t="str">
        <x:v>A200</x:v>
      </x:c>
      <x:c r="F17" s="9" t="n">
        <x:v>10</x:v>
      </x:c>
      <x:c r="G17" s="10" t="n">
        <x:v>0.02</x:v>
      </x:c>
      <x:c r="H17" s="9" t="n">
        <x:v>0</x:v>
      </x:c>
      <x:c r="I17" s="2" t="str">
        <x:v>Standard order</x:v>
      </x:c>
      <x:c r="J17" s="8" t="n">
        <x:f>F17-H17</x:f>
        <x:v>10</x:v>
      </x:c>
      <x:c r="K17" s="17" t="n">
        <x:f>J17*SUMIFS('Catalog'!$J$9:$J$12,'Catalog'!$H$9:$H$12,E17)*(1-G17)</x:f>
        <x:v>1372000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 t="str">
        <x:v>O-011</x:v>
      </x:c>
      <x:c r="C18" s="19" t="d">
        <x:v>2026-10-12T12:00:00.000Z</x:v>
      </x:c>
      <x:c r="D18" s="2" t="str">
        <x:v>Steady Equipment</x:v>
      </x:c>
      <x:c r="E18" s="2" t="str">
        <x:v>B100</x:v>
      </x:c>
      <x:c r="F18" s="9" t="n">
        <x:v>12</x:v>
      </x:c>
      <x:c r="G18" s="10" t="n">
        <x:v>0.02</x:v>
      </x:c>
      <x:c r="H18" s="9" t="n">
        <x:v>0</x:v>
      </x:c>
      <x:c r="I18" s="2" t="str">
        <x:v>Standard order</x:v>
      </x:c>
      <x:c r="J18" s="8" t="n">
        <x:f>F18-H18</x:f>
        <x:v>12</x:v>
      </x:c>
      <x:c r="K18" s="17" t="n">
        <x:f>J18*SUMIFS('Catalog'!$J$9:$J$12,'Catalog'!$H$9:$H$12,E18)*(1-G18)</x:f>
        <x:v>2587200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 t="str">
        <x:v>O-012</x:v>
      </x:c>
      <x:c r="C19" s="19" t="d">
        <x:v>2026-10-13T12:00:00.000Z</x:v>
      </x:c>
      <x:c r="D19" s="2" t="str">
        <x:v>Steady Equipment</x:v>
      </x:c>
      <x:c r="E19" s="2" t="str">
        <x:v>B200</x:v>
      </x:c>
      <x:c r="F19" s="9" t="n">
        <x:v>8</x:v>
      </x:c>
      <x:c r="G19" s="10" t="n">
        <x:v>0.02</x:v>
      </x:c>
      <x:c r="H19" s="9" t="n">
        <x:v>0</x:v>
      </x:c>
      <x:c r="I19" s="2" t="str">
        <x:v>Standard order</x:v>
      </x:c>
      <x:c r="J19" s="8" t="n">
        <x:f>F19-H19</x:f>
        <x:v>8</x:v>
      </x:c>
      <x:c r="K19" s="17" t="n">
        <x:f>J19*SUMIFS('Catalog'!$J$9:$J$12,'Catalog'!$H$9:$H$12,E19)*(1-G19)</x:f>
        <x:v>2430400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 t="str">
        <x:v>O-013</x:v>
      </x:c>
      <x:c r="C20" s="19" t="d">
        <x:v>2026-10-14T12:00:00.000Z</x:v>
      </x:c>
      <x:c r="D20" s="2" t="str">
        <x:v>Grove Automation</x:v>
      </x:c>
      <x:c r="E20" s="2" t="str">
        <x:v>A100</x:v>
      </x:c>
      <x:c r="F20" s="9" t="n">
        <x:v>21</x:v>
      </x:c>
      <x:c r="G20" s="10" t="n">
        <x:v>0.04</x:v>
      </x:c>
      <x:c r="H20" s="9" t="n">
        <x:v>0</x:v>
      </x:c>
      <x:c r="I20" s="2" t="str">
        <x:v>Standard order</x:v>
      </x:c>
      <x:c r="J20" s="8" t="n">
        <x:f>F20-H20</x:f>
        <x:v>21</x:v>
      </x:c>
      <x:c r="K20" s="17" t="n">
        <x:f>J20*SUMIFS('Catalog'!$J$9:$J$12,'Catalog'!$H$9:$H$12,E20)*(1-G20)</x:f>
        <x:v>1713600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 t="str">
        <x:v>O-014</x:v>
      </x:c>
      <x:c r="C21" s="19" t="d">
        <x:v>2026-10-15T12:00:00.000Z</x:v>
      </x:c>
      <x:c r="D21" s="2" t="str">
        <x:v>Grove Automation</x:v>
      </x:c>
      <x:c r="E21" s="2" t="str">
        <x:v>A200</x:v>
      </x:c>
      <x:c r="F21" s="9" t="n">
        <x:v>16</x:v>
      </x:c>
      <x:c r="G21" s="10" t="n">
        <x:v>0.04</x:v>
      </x:c>
      <x:c r="H21" s="9" t="n">
        <x:v>0</x:v>
      </x:c>
      <x:c r="I21" s="2" t="str">
        <x:v>Standard order</x:v>
      </x:c>
      <x:c r="J21" s="8" t="n">
        <x:f>F21-H21</x:f>
        <x:v>16</x:v>
      </x:c>
      <x:c r="K21" s="17" t="n">
        <x:f>J21*SUMIFS('Catalog'!$J$9:$J$12,'Catalog'!$H$9:$H$12,E21)*(1-G21)</x:f>
        <x:v>2150400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 t="str">
        <x:v>O-015</x:v>
      </x:c>
      <x:c r="C22" s="19" t="d">
        <x:v>2026-10-16T12:00:00.000Z</x:v>
      </x:c>
      <x:c r="D22" s="2" t="str">
        <x:v>Grove Automation</x:v>
      </x:c>
      <x:c r="E22" s="2" t="str">
        <x:v>B100</x:v>
      </x:c>
      <x:c r="F22" s="9" t="n">
        <x:v>13</x:v>
      </x:c>
      <x:c r="G22" s="10" t="n">
        <x:v>0.04</x:v>
      </x:c>
      <x:c r="H22" s="9" t="n">
        <x:v>1</x:v>
      </x:c>
      <x:c r="I22" s="2" t="str">
        <x:v>Return deducted</x:v>
      </x:c>
      <x:c r="J22" s="8" t="n">
        <x:f>F22-H22</x:f>
        <x:v>12</x:v>
      </x:c>
      <x:c r="K22" s="17" t="n">
        <x:f>J22*SUMIFS('Catalog'!$J$9:$J$12,'Catalog'!$H$9:$H$12,E22)*(1-G22)</x:f>
        <x:v>2534400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 t="str">
        <x:v>O-016</x:v>
      </x:c>
      <x:c r="C23" s="19" t="d">
        <x:v>2026-10-17T12:00:00.000Z</x:v>
      </x:c>
      <x:c r="D23" s="2" t="str">
        <x:v>Grove Automation</x:v>
      </x:c>
      <x:c r="E23" s="2" t="str">
        <x:v>B200</x:v>
      </x:c>
      <x:c r="F23" s="9" t="n">
        <x:v>11</x:v>
      </x:c>
      <x:c r="G23" s="10" t="n">
        <x:v>0.04</x:v>
      </x:c>
      <x:c r="H23" s="9" t="n">
        <x:v>0</x:v>
      </x:c>
      <x:c r="I23" s="2" t="str">
        <x:v>Standard order</x:v>
      </x:c>
      <x:c r="J23" s="8" t="n">
        <x:f>F23-H23</x:f>
        <x:v>11</x:v>
      </x:c>
      <x:c r="K23" s="17" t="n">
        <x:f>J23*SUMIFS('Catalog'!$J$9:$J$12,'Catalog'!$H$9:$H$12,E23)*(1-G23)</x:f>
        <x:v>3273600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22" hidden="0" customWidth="1"/>
    <x:col min="5" max="5" width="16" hidden="0" customWidth="1"/>
    <x:col min="6" max="6" width="12" hidden="0" customWidth="1"/>
    <x:col min="7" max="7" width="18" hidden="0" customWidth="1"/>
    <x:col min="8" max="8" width="12" hidden="0" customWidth="1"/>
    <x:col min="9" max="9" width="19" hidden="0" customWidth="1"/>
    <x:col min="10" max="10" width="16" hidden="0" customWidth="1"/>
    <x:col min="11" max="11" width="12" hidden="0" customWidth="1"/>
    <x:col min="12" max="12" width="12" hidden="0" customWidth="1"/>
    <x:col min="13" max="13" width="17" hidden="0" customWidth="1"/>
    <x:col min="14" max="14" width="17" hidden="0" customWidth="1"/>
    <x:col min="15" max="15" width="17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2"/>
      <x:c r="B3" s="2"/>
      <x:c r="C3" s="2"/>
      <x:c r="D3" s="2"/>
      <x:c r="E3" s="2"/>
      <x:c r="F3" s="2"/>
      <x:c r="G3" s="2"/>
      <x:c r="H3" s="3" t="str">
        <x:v>Product and material catalog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2"/>
      <x:c r="B4" s="2"/>
      <x:c r="C4" s="2"/>
      <x:c r="D4" s="2"/>
      <x:c r="E4" s="2"/>
      <x:c r="F4" s="2"/>
      <x:c r="G4" s="2"/>
      <x:c r="H4" s="4" t="str">
        <x:v>Synthetic prices, material usage, labor costs and inventory targets.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"/>
      <x:c r="B8" s="2"/>
      <x:c r="C8" s="2"/>
      <x:c r="D8" s="2"/>
      <x:c r="E8" s="2"/>
      <x:c r="F8" s="2"/>
      <x:c r="G8" s="2"/>
      <x:c r="H8" s="7" t="str">
        <x:v>Product code</x:v>
      </x:c>
      <x:c r="I8" s="7" t="str">
        <x:v>Product name</x:v>
      </x:c>
      <x:c r="J8" s="7" t="str">
        <x:v>List price</x:v>
      </x:c>
      <x:c r="K8" s="7" t="str">
        <x:v>Material code</x:v>
      </x:c>
      <x:c r="L8" s="7" t="str">
        <x:v>Units per product</x:v>
      </x:c>
      <x:c r="M8" s="7" t="str">
        <x:v>Labor per unit</x:v>
      </x:c>
      <x:c r="N8" s="7" t="str">
        <x:v>Safety units</x:v>
      </x:c>
      <x:c r="O8" s="7" t="str">
        <x:v>Opening units</x:v>
      </x:c>
      <x:c r="P8" s="2"/>
      <x:c r="Q8" s="2"/>
      <x:c r="R8" s="2"/>
      <x:c r="S8" s="2"/>
      <x:c r="T8" s="2"/>
      <x:c r="U8" s="2"/>
    </x:row>
    <x:row r="9" ht="24" customHeight="1">
      <x:c r="A9" s="2"/>
      <x:c r="B9" s="2"/>
      <x:c r="C9" s="2"/>
      <x:c r="D9" s="2"/>
      <x:c r="E9" s="2"/>
      <x:c r="F9" s="2"/>
      <x:c r="G9" s="2"/>
      <x:c r="H9" s="2" t="str">
        <x:v>A100</x:v>
      </x:c>
      <x:c r="I9" s="2" t="str">
        <x:v>Sensor mount</x:v>
      </x:c>
      <x:c r="J9" s="9" t="n">
        <x:v>85000</x:v>
      </x:c>
      <x:c r="K9" s="15" t="str">
        <x:v>R01</x:v>
      </x:c>
      <x:c r="L9" s="9" t="n">
        <x:v>2</x:v>
      </x:c>
      <x:c r="M9" s="9" t="n">
        <x:v>12000</x:v>
      </x:c>
      <x:c r="N9" s="9" t="n">
        <x:v>20</x:v>
      </x:c>
      <x:c r="O9" s="9" t="n">
        <x:v>35</x:v>
      </x:c>
      <x:c r="P9" s="2"/>
      <x:c r="Q9" s="2"/>
      <x:c r="R9" s="2"/>
      <x:c r="S9" s="2"/>
      <x:c r="T9" s="2"/>
      <x:c r="U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 t="str">
        <x:v>A200</x:v>
      </x:c>
      <x:c r="I10" s="2" t="str">
        <x:v>Mobile stand</x:v>
      </x:c>
      <x:c r="J10" s="9" t="n">
        <x:v>140000</x:v>
      </x:c>
      <x:c r="K10" s="15" t="str">
        <x:v>R01</x:v>
      </x:c>
      <x:c r="L10" s="9" t="n">
        <x:v>3</x:v>
      </x:c>
      <x:c r="M10" s="9" t="n">
        <x:v>18000</x:v>
      </x:c>
      <x:c r="N10" s="9" t="n">
        <x:v>12</x:v>
      </x:c>
      <x:c r="O10" s="9" t="n">
        <x:v>18</x:v>
      </x:c>
      <x:c r="P10" s="2"/>
      <x:c r="Q10" s="2"/>
      <x:c r="R10" s="2"/>
      <x:c r="S10" s="2"/>
      <x:c r="T10" s="2"/>
      <x:c r="U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 t="str">
        <x:v>B100</x:v>
      </x:c>
      <x:c r="I11" s="2" t="str">
        <x:v>Control box</x:v>
      </x:c>
      <x:c r="J11" s="9" t="n">
        <x:v>220000</x:v>
      </x:c>
      <x:c r="K11" s="15" t="str">
        <x:v>R02</x:v>
      </x:c>
      <x:c r="L11" s="9" t="n">
        <x:v>1</x:v>
      </x:c>
      <x:c r="M11" s="9" t="n">
        <x:v>26000</x:v>
      </x:c>
      <x:c r="N11" s="9" t="n">
        <x:v>10</x:v>
      </x:c>
      <x:c r="O11" s="9" t="n">
        <x:v>14</x:v>
      </x:c>
      <x:c r="P11" s="2"/>
      <x:c r="Q11" s="2"/>
      <x:c r="R11" s="2"/>
      <x:c r="S11" s="2"/>
      <x:c r="T11" s="2"/>
      <x:c r="U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 t="str">
        <x:v>B200</x:v>
      </x:c>
      <x:c r="I12" s="2" t="str">
        <x:v>Weatherproof enclosure</x:v>
      </x:c>
      <x:c r="J12" s="9" t="n">
        <x:v>310000</x:v>
      </x:c>
      <x:c r="K12" s="15" t="str">
        <x:v>R03</x:v>
      </x:c>
      <x:c r="L12" s="9" t="n">
        <x:v>2</x:v>
      </x:c>
      <x:c r="M12" s="9" t="n">
        <x:v>34000</x:v>
      </x:c>
      <x:c r="N12" s="9" t="n">
        <x:v>8</x:v>
      </x:c>
      <x:c r="O12" s="9" t="n">
        <x:v>10</x:v>
      </x:c>
      <x:c r="P12" s="2"/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4" customHeight="1">
      <x:c r="A26" s="2"/>
      <x:c r="B26" s="2"/>
      <x:c r="C26" s="14" t="str">
        <x:v>Material prices and suppliers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30" customHeight="1">
      <x:c r="A28" s="2"/>
      <x:c r="B28" s="2"/>
      <x:c r="C28" s="7" t="str">
        <x:v>Material code</x:v>
      </x:c>
      <x:c r="D28" s="7" t="str">
        <x:v>Material name</x:v>
      </x:c>
      <x:c r="E28" s="7" t="str">
        <x:v>Unit price</x:v>
      </x:c>
      <x:c r="F28" s="7" t="str">
        <x:v>Lead days</x:v>
      </x:c>
      <x:c r="G28" s="7" t="str">
        <x:v>Supplier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4" customHeight="1">
      <x:c r="A29" s="2"/>
      <x:c r="B29" s="2"/>
      <x:c r="C29" s="2" t="str">
        <x:v>R01</x:v>
      </x:c>
      <x:c r="D29" s="2" t="str">
        <x:v>Aluminum frame</x:v>
      </x:c>
      <x:c r="E29" s="9" t="n">
        <x:v>18000</x:v>
      </x:c>
      <x:c r="F29" s="16" t="n">
        <x:v>7</x:v>
      </x:c>
      <x:c r="G29" s="2" t="str">
        <x:v>North Metals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4" customHeight="1">
      <x:c r="A30" s="2"/>
      <x:c r="B30" s="2"/>
      <x:c r="C30" s="2" t="str">
        <x:v>R02</x:v>
      </x:c>
      <x:c r="D30" s="2" t="str">
        <x:v>Control module</x:v>
      </x:c>
      <x:c r="E30" s="9" t="n">
        <x:v>76000</x:v>
      </x:c>
      <x:c r="F30" s="16" t="n">
        <x:v>14</x:v>
      </x:c>
      <x:c r="G30" s="2" t="str">
        <x:v>Bright Electronics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4" customHeight="1">
      <x:c r="A31" s="2"/>
      <x:c r="B31" s="2"/>
      <x:c r="C31" s="2" t="str">
        <x:v>R03</x:v>
      </x:c>
      <x:c r="D31" s="2" t="str">
        <x:v>Sealed case</x:v>
      </x:c>
      <x:c r="E31" s="9" t="n">
        <x:v>68000</x:v>
      </x:c>
      <x:c r="F31" s="16" t="n">
        <x:v>10</x:v>
      </x:c>
      <x:c r="G31" s="2" t="str">
        <x:v>Ocean Parts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</x:sheetData>
  <x:pageMargins left="0.7" right="0.7" top="0.75" bottom="0.75" header="0.3" footer="0.3"/>
</x:worksheet>
</file>